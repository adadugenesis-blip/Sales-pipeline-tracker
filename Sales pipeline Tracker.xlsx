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22118" windowHeight="8778"/>
  </bookViews>
  <sheets>
    <sheet name="Slaes Pipeline Tracker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13" i="1" s="1"/>
  <c r="G6" i="1"/>
  <c r="G7" i="1"/>
  <c r="G8" i="1"/>
  <c r="G9" i="1"/>
  <c r="G10" i="1"/>
  <c r="G11" i="1"/>
  <c r="E15" i="1"/>
  <c r="E16" i="1"/>
  <c r="E17" i="1"/>
  <c r="E18" i="1"/>
  <c r="E19" i="1"/>
  <c r="E20" i="1"/>
  <c r="G22" i="1"/>
  <c r="E24" i="1"/>
  <c r="C26" i="1"/>
  <c r="C27" i="1"/>
  <c r="C28" i="1"/>
  <c r="C29" i="1"/>
  <c r="C30" i="1"/>
  <c r="C31" i="1"/>
</calcChain>
</file>

<file path=xl/sharedStrings.xml><?xml version="1.0" encoding="utf-8"?>
<sst xmlns="http://schemas.openxmlformats.org/spreadsheetml/2006/main" count="62" uniqueCount="51">
  <si>
    <t>NO. Of  Deal For Close lost</t>
  </si>
  <si>
    <t>NO. Of  Deal For Negotiation</t>
  </si>
  <si>
    <t>NO. Of  Deal For Closed Won</t>
  </si>
  <si>
    <t>NO. Of  Deal For Proposal</t>
  </si>
  <si>
    <t>NO. Of  Deal For Qualified</t>
  </si>
  <si>
    <t>NO. Of  Deal For Lead</t>
  </si>
  <si>
    <t>TOTAL DEALS</t>
  </si>
  <si>
    <t>Total revenue from closed won</t>
  </si>
  <si>
    <t>Total Deal Value (Closed Lost)</t>
  </si>
  <si>
    <t>Total Deal Value (Closed Won)</t>
  </si>
  <si>
    <t>Total Deal Value (Ngotiation)</t>
  </si>
  <si>
    <t>Total Deal Value (Proposal)</t>
  </si>
  <si>
    <t>Total Deal Value (Qualified)</t>
  </si>
  <si>
    <t>Total Deal Value (Lead)</t>
  </si>
  <si>
    <t>Total Expected Revenue</t>
  </si>
  <si>
    <t>Negotiation</t>
  </si>
  <si>
    <t>John</t>
  </si>
  <si>
    <t>Kappa Ltd</t>
  </si>
  <si>
    <t>D010</t>
  </si>
  <si>
    <t>Closed Lost</t>
  </si>
  <si>
    <t>Alice</t>
  </si>
  <si>
    <t>Iota Co</t>
  </si>
  <si>
    <t>D009</t>
  </si>
  <si>
    <t>Proposal</t>
  </si>
  <si>
    <t>Mary</t>
  </si>
  <si>
    <t>Theta Ltd</t>
  </si>
  <si>
    <t>D008</t>
  </si>
  <si>
    <t>Qualified</t>
  </si>
  <si>
    <t>Eta Corp</t>
  </si>
  <si>
    <t>D007</t>
  </si>
  <si>
    <t xml:space="preserve">Lead </t>
  </si>
  <si>
    <t>Zeta Ltd</t>
  </si>
  <si>
    <t>D006</t>
  </si>
  <si>
    <t>Closed Won</t>
  </si>
  <si>
    <t>Epsilon Co</t>
  </si>
  <si>
    <t>D005</t>
  </si>
  <si>
    <t>Delta LTd</t>
  </si>
  <si>
    <t>D004</t>
  </si>
  <si>
    <t>Gamma Co</t>
  </si>
  <si>
    <t>D003</t>
  </si>
  <si>
    <t>Beta Corp</t>
  </si>
  <si>
    <t>D002</t>
  </si>
  <si>
    <t>Alpha ltd</t>
  </si>
  <si>
    <t>D001</t>
  </si>
  <si>
    <t>Expected Revenue</t>
  </si>
  <si>
    <t>Probability (%)</t>
  </si>
  <si>
    <t xml:space="preserve">Deal value </t>
  </si>
  <si>
    <t xml:space="preserve">Stage </t>
  </si>
  <si>
    <t xml:space="preserve">Sales Rep </t>
  </si>
  <si>
    <t>Client Name</t>
  </si>
  <si>
    <t xml:space="preserve">Deal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</si>
</sst>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0" fillId="6" borderId="0" xfId="0" applyFill="1"/>
    <xf numFmtId="0" fontId="4" fillId="7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0.39997558519241921"/>
        <name val="Calibri"/>
        <scheme val="minor"/>
      </font>
      <fill>
        <patternFill patternType="solid">
          <fgColor indexed="64"/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totalsRowShown="0" headerRowDxfId="0">
  <autoFilter ref="A1:F11"/>
  <tableColumns count="6">
    <tableColumn id="1" name="Deal ID "/>
    <tableColumn id="2" name="Client Name"/>
    <tableColumn id="3" name="Sales Rep "/>
    <tableColumn id="4" name="Stage "/>
    <tableColumn id="5" name="Deal value "/>
    <tableColumn id="6" name="Probability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26" sqref="C26"/>
    </sheetView>
  </sheetViews>
  <sheetFormatPr defaultRowHeight="14.4" x14ac:dyDescent="0.3"/>
  <cols>
    <col min="1" max="1" width="25.3984375" customWidth="1"/>
    <col min="2" max="2" width="16.59765625" customWidth="1"/>
    <col min="3" max="3" width="15.19921875" customWidth="1"/>
    <col min="4" max="4" width="15.59765625" customWidth="1"/>
    <col min="5" max="5" width="14.59765625" customWidth="1"/>
    <col min="6" max="6" width="20.8984375" customWidth="1"/>
    <col min="7" max="7" width="20.3984375" customWidth="1"/>
  </cols>
  <sheetData>
    <row r="1" spans="1:7" x14ac:dyDescent="0.3">
      <c r="A1" s="6" t="s">
        <v>50</v>
      </c>
      <c r="B1" s="6" t="s">
        <v>49</v>
      </c>
      <c r="C1" s="6" t="s">
        <v>48</v>
      </c>
      <c r="D1" s="6" t="s">
        <v>47</v>
      </c>
      <c r="E1" s="6" t="s">
        <v>46</v>
      </c>
      <c r="F1" s="6" t="s">
        <v>45</v>
      </c>
      <c r="G1" s="6" t="s">
        <v>44</v>
      </c>
    </row>
    <row r="2" spans="1:7" x14ac:dyDescent="0.3">
      <c r="A2" t="s">
        <v>43</v>
      </c>
      <c r="B2" t="s">
        <v>42</v>
      </c>
      <c r="C2" t="s">
        <v>16</v>
      </c>
      <c r="D2" t="s">
        <v>30</v>
      </c>
      <c r="E2">
        <v>800000</v>
      </c>
      <c r="F2">
        <v>20</v>
      </c>
      <c r="G2">
        <f>E2*F2</f>
        <v>16000000</v>
      </c>
    </row>
    <row r="3" spans="1:7" x14ac:dyDescent="0.3">
      <c r="A3" t="s">
        <v>41</v>
      </c>
      <c r="B3" t="s">
        <v>40</v>
      </c>
      <c r="C3" t="s">
        <v>24</v>
      </c>
      <c r="D3" t="s">
        <v>27</v>
      </c>
      <c r="E3">
        <v>1200000</v>
      </c>
      <c r="F3">
        <v>40</v>
      </c>
      <c r="G3">
        <f>E3*F3</f>
        <v>48000000</v>
      </c>
    </row>
    <row r="4" spans="1:7" x14ac:dyDescent="0.3">
      <c r="A4" t="s">
        <v>39</v>
      </c>
      <c r="B4" t="s">
        <v>38</v>
      </c>
      <c r="C4" t="s">
        <v>20</v>
      </c>
      <c r="D4" t="s">
        <v>23</v>
      </c>
      <c r="E4">
        <v>1500000</v>
      </c>
      <c r="F4">
        <v>60</v>
      </c>
      <c r="G4">
        <f>E4*F4</f>
        <v>90000000</v>
      </c>
    </row>
    <row r="5" spans="1:7" x14ac:dyDescent="0.3">
      <c r="A5" t="s">
        <v>37</v>
      </c>
      <c r="B5" t="s">
        <v>36</v>
      </c>
      <c r="C5" t="s">
        <v>16</v>
      </c>
      <c r="D5" t="s">
        <v>15</v>
      </c>
      <c r="E5">
        <v>2000000</v>
      </c>
      <c r="F5">
        <v>75</v>
      </c>
      <c r="G5">
        <f>E5*F5</f>
        <v>150000000</v>
      </c>
    </row>
    <row r="6" spans="1:7" x14ac:dyDescent="0.3">
      <c r="A6" t="s">
        <v>35</v>
      </c>
      <c r="B6" t="s">
        <v>34</v>
      </c>
      <c r="C6" t="s">
        <v>24</v>
      </c>
      <c r="D6" t="s">
        <v>33</v>
      </c>
      <c r="E6">
        <v>1800000</v>
      </c>
      <c r="F6">
        <v>100</v>
      </c>
      <c r="G6">
        <f>E6*F6</f>
        <v>180000000</v>
      </c>
    </row>
    <row r="7" spans="1:7" x14ac:dyDescent="0.3">
      <c r="A7" t="s">
        <v>32</v>
      </c>
      <c r="B7" t="s">
        <v>31</v>
      </c>
      <c r="C7" t="s">
        <v>20</v>
      </c>
      <c r="D7" t="s">
        <v>30</v>
      </c>
      <c r="E7">
        <v>600000</v>
      </c>
      <c r="F7">
        <v>20</v>
      </c>
      <c r="G7">
        <f>E7*F7</f>
        <v>12000000</v>
      </c>
    </row>
    <row r="8" spans="1:7" x14ac:dyDescent="0.3">
      <c r="A8" t="s">
        <v>29</v>
      </c>
      <c r="B8" t="s">
        <v>28</v>
      </c>
      <c r="C8" t="s">
        <v>16</v>
      </c>
      <c r="D8" t="s">
        <v>27</v>
      </c>
      <c r="E8">
        <v>1000000</v>
      </c>
      <c r="F8">
        <v>40</v>
      </c>
      <c r="G8">
        <f>E8*F8</f>
        <v>40000000</v>
      </c>
    </row>
    <row r="9" spans="1:7" x14ac:dyDescent="0.3">
      <c r="A9" t="s">
        <v>26</v>
      </c>
      <c r="B9" t="s">
        <v>25</v>
      </c>
      <c r="C9" t="s">
        <v>24</v>
      </c>
      <c r="D9" t="s">
        <v>23</v>
      </c>
      <c r="E9">
        <v>1300000</v>
      </c>
      <c r="F9">
        <v>60</v>
      </c>
      <c r="G9">
        <f>E9*F9</f>
        <v>78000000</v>
      </c>
    </row>
    <row r="10" spans="1:7" x14ac:dyDescent="0.3">
      <c r="A10" t="s">
        <v>22</v>
      </c>
      <c r="B10" t="s">
        <v>21</v>
      </c>
      <c r="C10" t="s">
        <v>20</v>
      </c>
      <c r="D10" t="s">
        <v>19</v>
      </c>
      <c r="E10">
        <v>900000</v>
      </c>
      <c r="F10">
        <v>0</v>
      </c>
      <c r="G10">
        <f>E10*F10</f>
        <v>0</v>
      </c>
    </row>
    <row r="11" spans="1:7" x14ac:dyDescent="0.3">
      <c r="A11" t="s">
        <v>18</v>
      </c>
      <c r="B11" t="s">
        <v>17</v>
      </c>
      <c r="C11" t="s">
        <v>16</v>
      </c>
      <c r="D11" t="s">
        <v>15</v>
      </c>
      <c r="E11">
        <v>1700000</v>
      </c>
      <c r="F11">
        <v>75</v>
      </c>
      <c r="G11">
        <f>E11*F11</f>
        <v>127500000</v>
      </c>
    </row>
    <row r="13" spans="1:7" x14ac:dyDescent="0.3">
      <c r="A13" s="5" t="s">
        <v>14</v>
      </c>
      <c r="B13" s="5"/>
      <c r="C13" s="5"/>
      <c r="D13" s="5"/>
      <c r="E13" s="5"/>
      <c r="F13" s="5"/>
      <c r="G13" s="5">
        <f>SUM(G2:G11)</f>
        <v>741500000</v>
      </c>
    </row>
    <row r="15" spans="1:7" x14ac:dyDescent="0.3">
      <c r="A15" s="4" t="s">
        <v>13</v>
      </c>
      <c r="B15" s="4"/>
      <c r="C15" s="4"/>
      <c r="D15" s="4"/>
      <c r="E15" s="4">
        <f>SUMIF(Table1[[Stage ]],"Lead ",Table1[[Deal value ]])</f>
        <v>1400000</v>
      </c>
    </row>
    <row r="16" spans="1:7" x14ac:dyDescent="0.3">
      <c r="A16" s="4" t="s">
        <v>12</v>
      </c>
      <c r="B16" s="4"/>
      <c r="C16" s="4"/>
      <c r="D16" s="4"/>
      <c r="E16" s="4">
        <f>SUMIF(D2:D11,"Qualified",E2:E11)</f>
        <v>2200000</v>
      </c>
    </row>
    <row r="17" spans="1:7" x14ac:dyDescent="0.3">
      <c r="A17" s="4" t="s">
        <v>11</v>
      </c>
      <c r="B17" s="4"/>
      <c r="C17" s="4"/>
      <c r="D17" s="4"/>
      <c r="E17" s="4">
        <f>SUMIF(D2:D11,"Proposal",E2:E11)</f>
        <v>2800000</v>
      </c>
    </row>
    <row r="18" spans="1:7" x14ac:dyDescent="0.3">
      <c r="A18" s="4" t="s">
        <v>10</v>
      </c>
      <c r="B18" s="4"/>
      <c r="C18" s="4"/>
      <c r="D18" s="4"/>
      <c r="E18" s="4">
        <f>SUMIF(D2:D11,"Negotiation",E2:E11)</f>
        <v>3700000</v>
      </c>
    </row>
    <row r="19" spans="1:7" x14ac:dyDescent="0.3">
      <c r="A19" s="4" t="s">
        <v>9</v>
      </c>
      <c r="B19" s="4"/>
      <c r="C19" s="4"/>
      <c r="D19" s="4"/>
      <c r="E19" s="4">
        <f>SUMIF(D2:D11,"Closed Won",E2:E11)</f>
        <v>1800000</v>
      </c>
    </row>
    <row r="20" spans="1:7" x14ac:dyDescent="0.3">
      <c r="A20" s="4" t="s">
        <v>8</v>
      </c>
      <c r="B20" s="4"/>
      <c r="C20" s="4"/>
      <c r="D20" s="4"/>
      <c r="E20" s="4">
        <f>SUMIF(D2:D11,"Closed Lost",E2:E11)</f>
        <v>900000</v>
      </c>
    </row>
    <row r="22" spans="1:7" x14ac:dyDescent="0.3">
      <c r="A22" s="3" t="s">
        <v>7</v>
      </c>
      <c r="B22" s="3"/>
      <c r="C22" s="3"/>
      <c r="D22" s="3"/>
      <c r="E22" s="3"/>
      <c r="F22" s="3"/>
      <c r="G22" s="3">
        <f>SUMIF(D2:D11, "Closed Won",E2:E11)</f>
        <v>1800000</v>
      </c>
    </row>
    <row r="24" spans="1:7" x14ac:dyDescent="0.3">
      <c r="A24" s="2" t="s">
        <v>6</v>
      </c>
      <c r="B24" s="2"/>
      <c r="C24" s="2"/>
      <c r="D24" s="2"/>
      <c r="E24" s="2">
        <f>SUM(E2:E11)</f>
        <v>12800000</v>
      </c>
    </row>
    <row r="26" spans="1:7" x14ac:dyDescent="0.3">
      <c r="A26" s="1" t="s">
        <v>5</v>
      </c>
      <c r="B26" s="1"/>
      <c r="C26" s="1">
        <f>COUNTIF(Table1[[Stage ]],$D2)</f>
        <v>2</v>
      </c>
    </row>
    <row r="27" spans="1:7" x14ac:dyDescent="0.3">
      <c r="A27" s="1" t="s">
        <v>4</v>
      </c>
      <c r="B27" s="1"/>
      <c r="C27" s="1">
        <f>COUNTIF(Table1[[Stage ]],$D3)</f>
        <v>2</v>
      </c>
    </row>
    <row r="28" spans="1:7" x14ac:dyDescent="0.3">
      <c r="A28" s="1" t="s">
        <v>3</v>
      </c>
      <c r="B28" s="1"/>
      <c r="C28" s="1">
        <f>COUNTIF(Table1[[Stage ]],D4)</f>
        <v>2</v>
      </c>
    </row>
    <row r="29" spans="1:7" x14ac:dyDescent="0.3">
      <c r="A29" s="1" t="s">
        <v>2</v>
      </c>
      <c r="B29" s="1"/>
      <c r="C29" s="1">
        <f>COUNTIF(Table1[[Stage ]],D6)</f>
        <v>1</v>
      </c>
    </row>
    <row r="30" spans="1:7" x14ac:dyDescent="0.3">
      <c r="A30" s="1" t="s">
        <v>1</v>
      </c>
      <c r="B30" s="1"/>
      <c r="C30" s="1">
        <f>COUNTIF(Table1[[Stage ]],D5)</f>
        <v>2</v>
      </c>
    </row>
    <row r="31" spans="1:7" x14ac:dyDescent="0.3">
      <c r="A31" s="1" t="s">
        <v>0</v>
      </c>
      <c r="B31" s="1"/>
      <c r="C31" s="1">
        <f>COUNTIF(Table1[[Stage ]],D10)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Slaes Pipeline Tracker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2026-02-23T08:34:01Z</dcterms:created>
  <dcterms:modified xsi:type="dcterms:W3CDTF">2026-02-23T08:34:55Z</dcterms:modified>
</cp:coreProperties>
</file>